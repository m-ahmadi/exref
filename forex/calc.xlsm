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324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r\forex\"/>
    </mc:Choice>
  </mc:AlternateContent>
  <xr:revisionPtr revIDLastSave="0" documentId="13_ncr:1_{5C95950E-680A-404E-AB0D-4ABB9FA97CD8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1" i="1" l="1"/>
  <c r="H17" i="1" s="1"/>
  <c r="D11" i="1"/>
  <c r="I11" i="1"/>
  <c r="H11" i="1"/>
  <c r="F11" i="1" l="1"/>
  <c r="G11" i="1"/>
  <c r="C15" i="1" l="1"/>
  <c r="H15" i="1" s="1"/>
  <c r="C18" i="1" l="1"/>
  <c r="H19" i="1" l="1"/>
</calcChain>
</file>

<file path=xl/sharedStrings.xml><?xml version="1.0" encoding="utf-8"?>
<sst xmlns="http://schemas.openxmlformats.org/spreadsheetml/2006/main" count="20" uniqueCount="20">
  <si>
    <t>PIP
Value</t>
  </si>
  <si>
    <r>
      <t xml:space="preserve">Lot
</t>
    </r>
    <r>
      <rPr>
        <sz val="6"/>
        <color theme="1"/>
        <rFont val="Calibri"/>
        <family val="2"/>
        <scheme val="minor"/>
      </rPr>
      <t>micro</t>
    </r>
  </si>
  <si>
    <r>
      <t xml:space="preserve">Price
</t>
    </r>
    <r>
      <rPr>
        <sz val="8"/>
        <color theme="1"/>
        <rFont val="Calibri"/>
        <family val="2"/>
        <scheme val="minor"/>
      </rPr>
      <t>enter</t>
    </r>
  </si>
  <si>
    <r>
      <t xml:space="preserve">Price
</t>
    </r>
    <r>
      <rPr>
        <sz val="8"/>
        <color theme="1"/>
        <rFont val="Calibri"/>
        <family val="2"/>
        <scheme val="minor"/>
      </rPr>
      <t>after</t>
    </r>
  </si>
  <si>
    <t>Chg</t>
  </si>
  <si>
    <t>Equity:</t>
  </si>
  <si>
    <t>Used Margin:</t>
  </si>
  <si>
    <t>Margin Level:</t>
  </si>
  <si>
    <t>Balance:</t>
  </si>
  <si>
    <t>Leverage:</t>
  </si>
  <si>
    <t>Profit/Loss</t>
  </si>
  <si>
    <t>Margin Call Level:</t>
  </si>
  <si>
    <t>Stop Out Level:</t>
  </si>
  <si>
    <t>Free Margin:</t>
  </si>
  <si>
    <t>PIP Δ</t>
  </si>
  <si>
    <t>PIP
Detected</t>
  </si>
  <si>
    <t>Needed
Margin</t>
  </si>
  <si>
    <t>Type:</t>
  </si>
  <si>
    <t>Commodity</t>
  </si>
  <si>
    <t>2673.45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</si>
</sst>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&quot;$&quot;#,##0"/>
    <numFmt numFmtId="165" formatCode="0.0000%"/>
    <numFmt numFmtId="166" formatCode="&quot;$&quot;#,##0.00"/>
  </numFmts>
  <fonts count="1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6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8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CC"/>
      </patternFill>
    </fill>
  </fills>
  <borders count="2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2">
    <xf numFmtId="0" fontId="0" fillId="0" borderId="0"/>
    <xf numFmtId="0" fontId="7" fillId="2" borderId="1" applyNumberFormat="0" applyFont="0" applyAlignment="0" applyProtection="0"/>
  </cellStyleXfs>
  <cellXfs count="26">
    <xf numFmtId="0" fontId="0" fillId="0" borderId="0" xfId="0"/>
    <xf numFmtId="0" fontId="6" fillId="0" borderId="0" xfId="0" applyFont="1" applyAlignment="1">
      <alignment vertical="center"/>
    </xf>
    <xf numFmtId="0" fontId="0" fillId="0" borderId="0" xfId="0" applyAlignment="1">
      <alignment vertical="center"/>
    </xf>
    <xf numFmtId="0" fontId="4" fillId="0" borderId="0" xfId="0" applyFont="1" applyAlignment="1">
      <alignment vertical="center"/>
    </xf>
    <xf numFmtId="0" fontId="1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1" fillId="0" borderId="0" xfId="0" applyFont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0" fontId="5" fillId="0" borderId="0" xfId="0" applyFont="1" applyAlignment="1">
      <alignment horizontal="center" vertical="center" wrapText="1"/>
    </xf>
    <xf numFmtId="0" fontId="9" fillId="0" borderId="0" xfId="0" applyFont="1" applyAlignment="1">
      <alignment horizontal="center" vertical="center" wrapText="1"/>
    </xf>
    <xf numFmtId="49" fontId="0" fillId="0" borderId="0" xfId="0" applyNumberFormat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9" fontId="0" fillId="0" borderId="0" xfId="0" applyNumberFormat="1" applyAlignment="1">
      <alignment horizontal="center" vertical="center"/>
    </xf>
    <xf numFmtId="0" fontId="0" fillId="0" borderId="0" xfId="0" applyAlignment="1">
      <alignment horizontal="center"/>
    </xf>
    <xf numFmtId="0" fontId="1" fillId="2" borderId="1" xfId="1" applyNumberFormat="1" applyFont="1" applyAlignment="1">
      <alignment horizontal="center" vertical="center" wrapText="1"/>
    </xf>
    <xf numFmtId="0" fontId="1" fillId="2" borderId="1" xfId="1" applyNumberFormat="1" applyFont="1" applyAlignment="1">
      <alignment horizontal="center" vertical="center"/>
    </xf>
    <xf numFmtId="0" fontId="1" fillId="2" borderId="1" xfId="1" applyNumberFormat="1" applyFont="1" applyAlignment="1">
      <alignment horizontal="left" vertical="center" wrapText="1"/>
    </xf>
    <xf numFmtId="0" fontId="1" fillId="2" borderId="1" xfId="1" applyNumberFormat="1" applyFont="1" applyAlignment="1">
      <alignment horizontal="left" vertical="center"/>
    </xf>
    <xf numFmtId="0" fontId="1" fillId="2" borderId="1" xfId="1" applyFont="1" applyAlignment="1">
      <alignment horizontal="center" vertical="center"/>
    </xf>
    <xf numFmtId="165" fontId="8" fillId="0" borderId="0" xfId="0" applyNumberFormat="1" applyFont="1" applyAlignment="1">
      <alignment horizontal="right" vertical="center"/>
    </xf>
    <xf numFmtId="0" fontId="5" fillId="0" borderId="0" xfId="0" applyFont="1" applyAlignment="1">
      <alignment horizontal="center" vertical="center"/>
    </xf>
    <xf numFmtId="166" fontId="10" fillId="0" borderId="0" xfId="0" applyNumberFormat="1" applyFont="1" applyAlignment="1">
      <alignment horizontal="center" vertical="center"/>
    </xf>
    <xf numFmtId="10" fontId="11" fillId="0" borderId="0" xfId="0" applyNumberFormat="1" applyFont="1" applyAlignment="1">
      <alignment horizontal="center" vertical="center"/>
    </xf>
  </cellXfs>
  <cellStyles count="2">
    <cellStyle name="Normal" xfId="0" builtinId="0"/>
    <cellStyle name="Note" xfId="1" builtinId="10"/>
  </cellStyles>
  <dxfs count="7">
    <dxf>
      <font>
        <color rgb="FFFF0000"/>
      </font>
    </dxf>
    <dxf>
      <font>
        <color rgb="FFFFC000"/>
      </font>
    </dxf>
    <dxf>
      <font>
        <color rgb="FF00B05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</dxfs>
  <tableStyles count="0" defaultTableStyle="TableStyleMedium2" defaultPivotStyle="PivotStyleLight16"/>
  <colors>
    <mruColors>
      <color rgb="FFFFFFF7"/>
      <color rgb="FFFFFFDD"/>
      <color rgb="FFFFFFCC"/>
      <color rgb="FF008000"/>
      <color rgb="FF006600"/>
      <color rgb="FF00FF00"/>
      <color rgb="FFFF3300"/>
      <color rgb="FFFF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ctrlProps/ctrlProp1.xml><?xml version="1.0" encoding="utf-8"?>
<formControlPr xmlns="http://schemas.microsoft.com/office/spreadsheetml/2009/9/main" objectType="Spin" dx="22" fmlaLink="$B$11" max="30000" min="1" noThreeD="1" page="10"/>
</file>

<file path=xl/ctrlProps/ctrlProp2.xml><?xml version="1.0" encoding="utf-8"?>
<formControlPr xmlns="http://schemas.microsoft.com/office/spreadsheetml/2009/9/main" objectType="Spin" dx="22" fmlaLink="$C$1" max="30000" noThreeD="1" page="10" val="100"/>
</file>

<file path=xl/ctrlProps/ctrlProp3.xml><?xml version="1.0" encoding="utf-8"?>
<formControlPr xmlns="http://schemas.microsoft.com/office/spreadsheetml/2009/9/main" objectType="Spin" dx="22" fmlaLink="$C$3" inc="10" max="3000" min="1" noThreeD="1" page="10" val="1000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295275</xdr:colOff>
          <xdr:row>8</xdr:row>
          <xdr:rowOff>0</xdr:rowOff>
        </xdr:from>
        <xdr:to>
          <xdr:col>2</xdr:col>
          <xdr:colOff>0</xdr:colOff>
          <xdr:row>10</xdr:row>
          <xdr:rowOff>0</xdr:rowOff>
        </xdr:to>
        <xdr:sp macro="" textlink="">
          <xdr:nvSpPr>
            <xdr:cNvPr id="1029" name="Spinner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285750</xdr:colOff>
          <xdr:row>8</xdr:row>
          <xdr:rowOff>0</xdr:rowOff>
        </xdr:from>
        <xdr:to>
          <xdr:col>4</xdr:col>
          <xdr:colOff>428625</xdr:colOff>
          <xdr:row>10</xdr:row>
          <xdr:rowOff>0</xdr:rowOff>
        </xdr:to>
        <xdr:sp macro="" textlink="">
          <xdr:nvSpPr>
            <xdr:cNvPr id="1042" name="SpinButton1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142875</xdr:colOff>
          <xdr:row>8</xdr:row>
          <xdr:rowOff>0</xdr:rowOff>
        </xdr:from>
        <xdr:to>
          <xdr:col>4</xdr:col>
          <xdr:colOff>285750</xdr:colOff>
          <xdr:row>10</xdr:row>
          <xdr:rowOff>0</xdr:rowOff>
        </xdr:to>
        <xdr:sp macro="" textlink="">
          <xdr:nvSpPr>
            <xdr:cNvPr id="1043" name="SpinButton2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8</xdr:row>
          <xdr:rowOff>0</xdr:rowOff>
        </xdr:from>
        <xdr:to>
          <xdr:col>4</xdr:col>
          <xdr:colOff>142875</xdr:colOff>
          <xdr:row>10</xdr:row>
          <xdr:rowOff>0</xdr:rowOff>
        </xdr:to>
        <xdr:sp macro="" textlink="">
          <xdr:nvSpPr>
            <xdr:cNvPr id="1044" name="SpinButton3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466725</xdr:colOff>
          <xdr:row>8</xdr:row>
          <xdr:rowOff>0</xdr:rowOff>
        </xdr:from>
        <xdr:to>
          <xdr:col>4</xdr:col>
          <xdr:colOff>0</xdr:colOff>
          <xdr:row>10</xdr:row>
          <xdr:rowOff>0</xdr:rowOff>
        </xdr:to>
        <xdr:sp macro="" textlink="">
          <xdr:nvSpPr>
            <xdr:cNvPr id="1045" name="SpinButton4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276225</xdr:colOff>
          <xdr:row>8</xdr:row>
          <xdr:rowOff>0</xdr:rowOff>
        </xdr:from>
        <xdr:to>
          <xdr:col>3</xdr:col>
          <xdr:colOff>419100</xdr:colOff>
          <xdr:row>10</xdr:row>
          <xdr:rowOff>0</xdr:rowOff>
        </xdr:to>
        <xdr:sp macro="" textlink="">
          <xdr:nvSpPr>
            <xdr:cNvPr id="1046" name="SpinButton5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</xdr:row>
          <xdr:rowOff>0</xdr:rowOff>
        </xdr:from>
        <xdr:to>
          <xdr:col>5</xdr:col>
          <xdr:colOff>0</xdr:colOff>
          <xdr:row>8</xdr:row>
          <xdr:rowOff>0</xdr:rowOff>
        </xdr:to>
        <xdr:sp macro="" textlink="">
          <xdr:nvSpPr>
            <xdr:cNvPr id="1048" name="CommandButton1" descr="Reset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609600</xdr:colOff>
          <xdr:row>0</xdr:row>
          <xdr:rowOff>0</xdr:rowOff>
        </xdr:from>
        <xdr:to>
          <xdr:col>4</xdr:col>
          <xdr:colOff>0</xdr:colOff>
          <xdr:row>1</xdr:row>
          <xdr:rowOff>190500</xdr:rowOff>
        </xdr:to>
        <xdr:sp macro="" textlink="">
          <xdr:nvSpPr>
            <xdr:cNvPr id="1049" name="Spinner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</xdr:row>
          <xdr:rowOff>0</xdr:rowOff>
        </xdr:from>
        <xdr:to>
          <xdr:col>4</xdr:col>
          <xdr:colOff>0</xdr:colOff>
          <xdr:row>4</xdr:row>
          <xdr:rowOff>0</xdr:rowOff>
        </xdr:to>
        <xdr:sp macro="" textlink="">
          <xdr:nvSpPr>
            <xdr:cNvPr id="1050" name="Spinner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ctrlProp" Target="../ctrlProps/ctrlProp2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trlProp" Target="../ctrlProps/ctrlProp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ontrol" Target="../activeX/activeX6.xml"/><Relationship Id="rId5" Type="http://schemas.openxmlformats.org/officeDocument/2006/relationships/image" Target="../media/image1.emf"/><Relationship Id="rId10" Type="http://schemas.openxmlformats.org/officeDocument/2006/relationships/control" Target="../activeX/activeX5.xml"/><Relationship Id="rId4" Type="http://schemas.openxmlformats.org/officeDocument/2006/relationships/control" Target="../activeX/activeX1.xml"/><Relationship Id="rId9" Type="http://schemas.openxmlformats.org/officeDocument/2006/relationships/control" Target="../activeX/activeX4.xml"/><Relationship Id="rId1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U28"/>
  <sheetViews>
    <sheetView tabSelected="1" zoomScaleNormal="100" zoomScaleSheetLayoutView="40" workbookViewId="0">
      <selection sqref="A1:B2"/>
    </sheetView>
  </sheetViews>
  <sheetFormatPr defaultRowHeight="15" customHeight="1" x14ac:dyDescent="0.25"/>
  <cols>
    <col min="1" max="4" width="9.140625" customWidth="1"/>
    <col min="9" max="9" width="9.140625" customWidth="1"/>
    <col min="11" max="11" width="9.140625" customWidth="1"/>
    <col min="14" max="15" width="9.140625" customWidth="1"/>
  </cols>
  <sheetData>
    <row r="1" spans="1:21" ht="15" customHeight="1" x14ac:dyDescent="0.25">
      <c r="A1" s="21" t="s">
        <v>8</v>
      </c>
      <c r="B1" s="21"/>
      <c r="C1" s="9">
        <v>100</v>
      </c>
      <c r="E1" s="6"/>
      <c r="F1" s="6" t="s">
        <v>11</v>
      </c>
      <c r="G1" s="6"/>
      <c r="H1" s="6"/>
      <c r="I1" s="15">
        <v>0.4</v>
      </c>
      <c r="J1" s="4"/>
      <c r="K1" s="2"/>
      <c r="L1" s="2"/>
      <c r="M1" s="2"/>
      <c r="N1" s="2"/>
      <c r="Q1" s="2"/>
      <c r="R1" s="2"/>
      <c r="S1" s="2"/>
      <c r="T1" s="2"/>
      <c r="U1" s="2"/>
    </row>
    <row r="2" spans="1:21" ht="15" customHeight="1" x14ac:dyDescent="0.25">
      <c r="A2" s="21"/>
      <c r="B2" s="21"/>
      <c r="C2" s="9"/>
      <c r="E2" s="6"/>
      <c r="F2" s="6"/>
      <c r="G2" s="6"/>
      <c r="H2" s="6"/>
      <c r="I2" s="15"/>
      <c r="J2" s="4"/>
      <c r="K2" s="2"/>
      <c r="L2" s="2"/>
      <c r="M2" s="2"/>
      <c r="N2" s="2"/>
      <c r="Q2" s="2"/>
      <c r="R2" s="2"/>
      <c r="S2" s="2"/>
      <c r="T2" s="2"/>
      <c r="U2" s="2"/>
    </row>
    <row r="3" spans="1:21" ht="15" customHeight="1" x14ac:dyDescent="0.25">
      <c r="A3" s="21" t="s">
        <v>9</v>
      </c>
      <c r="B3" s="21"/>
      <c r="C3" s="10">
        <v>1000</v>
      </c>
      <c r="E3" s="6"/>
      <c r="F3" s="6" t="s">
        <v>12</v>
      </c>
      <c r="G3" s="6"/>
      <c r="H3" s="6"/>
      <c r="I3" s="15">
        <v>0.2</v>
      </c>
      <c r="J3" s="4"/>
      <c r="K3" s="2"/>
      <c r="L3" s="2"/>
      <c r="M3" s="2"/>
      <c r="N3" s="2"/>
      <c r="O3" s="4"/>
      <c r="P3" s="2"/>
      <c r="Q3" s="2"/>
      <c r="R3" s="2"/>
      <c r="S3" s="2"/>
      <c r="T3" s="2"/>
      <c r="U3" s="2"/>
    </row>
    <row r="4" spans="1:21" ht="15" customHeight="1" x14ac:dyDescent="0.25">
      <c r="A4" s="21"/>
      <c r="B4" s="21"/>
      <c r="C4" s="10">
        <v>1</v>
      </c>
      <c r="D4" s="1"/>
      <c r="E4" s="6"/>
      <c r="F4" s="6"/>
      <c r="G4" s="6"/>
      <c r="H4" s="6"/>
      <c r="I4" s="15"/>
      <c r="J4" s="4"/>
      <c r="K4" s="2"/>
      <c r="L4" s="2"/>
      <c r="M4" s="2"/>
      <c r="N4" s="2"/>
    </row>
    <row r="5" spans="1:21" ht="15" customHeight="1" x14ac:dyDescent="0.25">
      <c r="A5" s="16"/>
      <c r="B5" s="16"/>
      <c r="C5" s="16"/>
      <c r="D5" s="16"/>
      <c r="E5" s="16"/>
      <c r="F5" s="16"/>
      <c r="G5" s="16"/>
      <c r="H5" s="16"/>
      <c r="I5" s="16"/>
      <c r="K5" s="2"/>
      <c r="L5" s="2"/>
      <c r="M5" s="2"/>
      <c r="N5" s="2"/>
    </row>
    <row r="6" spans="1:21" ht="15" customHeight="1" x14ac:dyDescent="0.25">
      <c r="A6" s="16"/>
      <c r="B6" s="16"/>
      <c r="C6" s="16"/>
      <c r="D6" s="16"/>
      <c r="E6" s="16"/>
      <c r="F6" s="16"/>
      <c r="G6" s="16"/>
      <c r="H6" s="16"/>
      <c r="I6" s="16"/>
      <c r="K6" s="2"/>
      <c r="L6" s="2"/>
      <c r="M6" s="2"/>
      <c r="N6" s="2"/>
    </row>
    <row r="7" spans="1:21" ht="15" customHeight="1" x14ac:dyDescent="0.25">
      <c r="A7" s="17" t="s">
        <v>17</v>
      </c>
      <c r="B7" s="8" t="s">
        <v>18</v>
      </c>
      <c r="C7" s="8"/>
      <c r="D7" s="16"/>
      <c r="E7" s="16"/>
      <c r="F7" s="16"/>
      <c r="G7" s="16"/>
      <c r="H7" s="16"/>
      <c r="I7" s="16"/>
      <c r="K7" s="2"/>
      <c r="L7" s="2"/>
      <c r="M7" s="2"/>
      <c r="N7" s="2"/>
    </row>
    <row r="8" spans="1:21" ht="15" customHeight="1" x14ac:dyDescent="0.25">
      <c r="A8" s="18"/>
      <c r="B8" s="8"/>
      <c r="C8" s="8"/>
      <c r="D8" s="23">
        <v>400</v>
      </c>
      <c r="E8" s="23"/>
      <c r="F8" s="16"/>
      <c r="G8" s="16"/>
      <c r="H8" s="16"/>
      <c r="I8" s="16"/>
      <c r="K8" s="2"/>
      <c r="L8" s="2"/>
      <c r="M8" s="2"/>
      <c r="N8" s="2"/>
    </row>
    <row r="9" spans="1:21" ht="15" customHeight="1" x14ac:dyDescent="0.25">
      <c r="A9" s="17" t="s">
        <v>2</v>
      </c>
      <c r="B9" s="19" t="s">
        <v>1</v>
      </c>
      <c r="C9" s="12" t="s">
        <v>16</v>
      </c>
      <c r="D9" s="19" t="s">
        <v>4</v>
      </c>
      <c r="E9" s="20"/>
      <c r="F9" s="14" t="s">
        <v>3</v>
      </c>
      <c r="G9" s="14" t="s">
        <v>14</v>
      </c>
      <c r="H9" s="11" t="s">
        <v>15</v>
      </c>
      <c r="I9" s="11" t="s">
        <v>0</v>
      </c>
    </row>
    <row r="10" spans="1:21" ht="15" customHeight="1" x14ac:dyDescent="0.25">
      <c r="A10" s="18"/>
      <c r="B10" s="20"/>
      <c r="C10" s="12"/>
      <c r="D10" s="20"/>
      <c r="E10" s="20"/>
      <c r="F10" s="6"/>
      <c r="G10" s="6"/>
      <c r="H10" s="11"/>
      <c r="I10" s="11"/>
    </row>
    <row r="11" spans="1:21" ht="15" customHeight="1" x14ac:dyDescent="0.25">
      <c r="A11" s="13" t="s">
        <v>19</v>
      </c>
      <c r="B11" s="10">
        <v>1</v>
      </c>
      <c r="C11" s="13">
        <f>ROUND(A11 * IF(B7="Currency Pair",1000,1) / C3,2)*B11</f>
        <v>2.67</v>
      </c>
      <c r="D11" s="22">
        <f>D8*0.000001</f>
        <v>3.9999999999999996E-4</v>
      </c>
      <c r="E11" s="22"/>
      <c r="F11" s="8">
        <f>ROUND(A11+(A11*D11), H11)</f>
        <v>2674.52</v>
      </c>
      <c r="G11" s="8">
        <f>ROUND(A11*D11, H11) / POWER(0.1, H11)</f>
        <v>106.99999999999999</v>
      </c>
      <c r="H11" s="8">
        <f>LEN(MID(A11, LEN(""&amp;TRUNC(A11))+2, 999))</f>
        <v>2</v>
      </c>
      <c r="I11" s="8">
        <f>B11*0.01</f>
        <v>0.01</v>
      </c>
    </row>
    <row r="12" spans="1:21" ht="15" customHeight="1" x14ac:dyDescent="0.25">
      <c r="A12" s="13"/>
      <c r="B12" s="10"/>
      <c r="C12" s="8"/>
      <c r="D12" s="22"/>
      <c r="E12" s="22"/>
      <c r="F12" s="8"/>
      <c r="G12" s="8"/>
      <c r="H12" s="8"/>
      <c r="I12" s="8"/>
    </row>
    <row r="13" spans="1:21" ht="15" customHeight="1" x14ac:dyDescent="0.25">
      <c r="A13" s="16"/>
      <c r="B13" s="16"/>
      <c r="C13" s="16"/>
      <c r="D13" s="16"/>
      <c r="E13" s="16"/>
      <c r="F13" s="16"/>
      <c r="G13" s="16"/>
      <c r="H13" s="16"/>
      <c r="I13" s="16"/>
    </row>
    <row r="14" spans="1:21" ht="15" customHeight="1" x14ac:dyDescent="0.25">
      <c r="A14" s="16"/>
      <c r="B14" s="16"/>
      <c r="C14" s="16"/>
      <c r="D14" s="16"/>
      <c r="E14" s="16"/>
      <c r="F14" s="16"/>
      <c r="G14" s="16"/>
      <c r="H14" s="16"/>
      <c r="I14" s="16"/>
    </row>
    <row r="15" spans="1:21" ht="15" customHeight="1" x14ac:dyDescent="0.25">
      <c r="A15" s="6" t="s">
        <v>10</v>
      </c>
      <c r="B15" s="6"/>
      <c r="C15" s="24">
        <f>G11*I11</f>
        <v>1.0699999999999998</v>
      </c>
      <c r="D15" s="24"/>
      <c r="E15" s="24"/>
      <c r="F15" s="6" t="s">
        <v>5</v>
      </c>
      <c r="G15" s="6"/>
      <c r="H15" s="7">
        <f>C1+C15</f>
        <v>101.07</v>
      </c>
      <c r="I15" s="7"/>
    </row>
    <row r="16" spans="1:21" ht="15" customHeight="1" x14ac:dyDescent="0.25">
      <c r="A16" s="6"/>
      <c r="B16" s="6"/>
      <c r="C16" s="24"/>
      <c r="D16" s="24"/>
      <c r="E16" s="24"/>
      <c r="F16" s="6"/>
      <c r="G16" s="6"/>
      <c r="H16" s="7"/>
      <c r="I16" s="7"/>
    </row>
    <row r="17" spans="1:16" ht="15" customHeight="1" x14ac:dyDescent="0.25">
      <c r="A17" s="6"/>
      <c r="B17" s="6"/>
      <c r="C17" s="24"/>
      <c r="D17" s="24"/>
      <c r="E17" s="24"/>
      <c r="F17" s="6" t="s">
        <v>6</v>
      </c>
      <c r="G17" s="6"/>
      <c r="H17" s="8">
        <f>C11</f>
        <v>2.67</v>
      </c>
      <c r="I17" s="8"/>
    </row>
    <row r="18" spans="1:16" ht="15" customHeight="1" x14ac:dyDescent="0.25">
      <c r="A18" s="6" t="s">
        <v>7</v>
      </c>
      <c r="B18" s="6"/>
      <c r="C18" s="25">
        <f>H15/H17</f>
        <v>37.853932584269664</v>
      </c>
      <c r="D18" s="25"/>
      <c r="E18" s="25"/>
      <c r="F18" s="6"/>
      <c r="G18" s="6"/>
      <c r="H18" s="8"/>
      <c r="I18" s="8"/>
    </row>
    <row r="19" spans="1:16" ht="15" customHeight="1" x14ac:dyDescent="0.25">
      <c r="A19" s="6"/>
      <c r="B19" s="6"/>
      <c r="C19" s="25"/>
      <c r="D19" s="25"/>
      <c r="E19" s="25"/>
      <c r="F19" s="6" t="s">
        <v>13</v>
      </c>
      <c r="G19" s="6"/>
      <c r="H19" s="8">
        <f>H15-H17</f>
        <v>98.399999999999991</v>
      </c>
      <c r="I19" s="8"/>
      <c r="J19" s="5"/>
    </row>
    <row r="20" spans="1:16" ht="15" customHeight="1" x14ac:dyDescent="0.25">
      <c r="A20" s="6"/>
      <c r="B20" s="6"/>
      <c r="C20" s="25"/>
      <c r="D20" s="25"/>
      <c r="E20" s="25"/>
      <c r="F20" s="6"/>
      <c r="G20" s="6"/>
      <c r="H20" s="8"/>
      <c r="I20" s="8"/>
    </row>
    <row r="21" spans="1:16" ht="15" customHeight="1" x14ac:dyDescent="0.25">
      <c r="A21" s="16"/>
      <c r="B21" s="16"/>
      <c r="C21" s="16"/>
      <c r="D21" s="16"/>
      <c r="E21" s="16"/>
      <c r="F21" s="16"/>
      <c r="G21" s="16"/>
      <c r="H21" s="16"/>
      <c r="I21" s="16"/>
    </row>
    <row r="22" spans="1:16" ht="15" customHeight="1" x14ac:dyDescent="0.25">
      <c r="A22" s="16"/>
      <c r="B22" s="16"/>
      <c r="C22" s="16"/>
      <c r="D22" s="16"/>
      <c r="E22" s="16"/>
      <c r="F22" s="16"/>
      <c r="G22" s="16"/>
      <c r="H22" s="16"/>
      <c r="I22" s="16"/>
    </row>
    <row r="25" spans="1:16" ht="15" customHeight="1" x14ac:dyDescent="0.25">
      <c r="P25" s="2"/>
    </row>
    <row r="26" spans="1:16" ht="15" customHeight="1" x14ac:dyDescent="0.25">
      <c r="P26" s="2"/>
    </row>
    <row r="27" spans="1:16" ht="15" customHeight="1" x14ac:dyDescent="0.25">
      <c r="P27" s="2"/>
    </row>
    <row r="28" spans="1:16" ht="15" customHeight="1" x14ac:dyDescent="0.25">
      <c r="L28" s="3"/>
    </row>
  </sheetData>
  <mergeCells count="43">
    <mergeCell ref="A21:I22"/>
    <mergeCell ref="A11:A12"/>
    <mergeCell ref="A18:B20"/>
    <mergeCell ref="A15:B17"/>
    <mergeCell ref="C15:E17"/>
    <mergeCell ref="C18:E20"/>
    <mergeCell ref="A13:I14"/>
    <mergeCell ref="D9:E10"/>
    <mergeCell ref="H11:H12"/>
    <mergeCell ref="D11:E12"/>
    <mergeCell ref="G11:G12"/>
    <mergeCell ref="D8:E8"/>
    <mergeCell ref="G9:G10"/>
    <mergeCell ref="A9:A10"/>
    <mergeCell ref="B9:B10"/>
    <mergeCell ref="B11:B12"/>
    <mergeCell ref="A1:B2"/>
    <mergeCell ref="A3:B4"/>
    <mergeCell ref="B7:C8"/>
    <mergeCell ref="A7:A8"/>
    <mergeCell ref="C1:C2"/>
    <mergeCell ref="C3:C4"/>
    <mergeCell ref="E1:E4"/>
    <mergeCell ref="I9:I10"/>
    <mergeCell ref="I11:I12"/>
    <mergeCell ref="H9:H10"/>
    <mergeCell ref="C9:C10"/>
    <mergeCell ref="C11:C12"/>
    <mergeCell ref="F9:F10"/>
    <mergeCell ref="F11:F12"/>
    <mergeCell ref="F3:H4"/>
    <mergeCell ref="I3:I4"/>
    <mergeCell ref="I1:I2"/>
    <mergeCell ref="D7:E7"/>
    <mergeCell ref="A5:I6"/>
    <mergeCell ref="F7:I8"/>
    <mergeCell ref="F1:H2"/>
    <mergeCell ref="F15:G16"/>
    <mergeCell ref="F17:G18"/>
    <mergeCell ref="F19:G20"/>
    <mergeCell ref="H15:I16"/>
    <mergeCell ref="H17:I18"/>
    <mergeCell ref="H19:I20"/>
  </mergeCells>
  <conditionalFormatting sqref="D11">
    <cfRule type="cellIs" dxfId="6" priority="4" operator="lessThan">
      <formula>0</formula>
    </cfRule>
    <cfRule type="cellIs" dxfId="5" priority="5" operator="greaterThan">
      <formula>0</formula>
    </cfRule>
  </conditionalFormatting>
  <conditionalFormatting sqref="C15">
    <cfRule type="cellIs" dxfId="4" priority="6" operator="lessThan">
      <formula>0</formula>
    </cfRule>
    <cfRule type="cellIs" dxfId="3" priority="7" operator="greaterThan">
      <formula>0</formula>
    </cfRule>
  </conditionalFormatting>
  <conditionalFormatting sqref="C18">
    <cfRule type="cellIs" dxfId="2" priority="17" operator="greaterThan">
      <formula>$I$1</formula>
    </cfRule>
    <cfRule type="expression" dxfId="1" priority="18">
      <formula>AND(C18&lt;=$I$1, C18&gt;$I$3)</formula>
    </cfRule>
    <cfRule type="cellIs" dxfId="0" priority="19" operator="lessThanOrEqual">
      <formula>$I$3</formula>
    </cfRule>
  </conditionalFormatting>
  <dataValidations count="1">
    <dataValidation type="list" allowBlank="1" showInputMessage="1" showErrorMessage="1" sqref="B7:C8" xr:uid="{E58B31FF-B241-43A5-A1E8-F2B42582BDC7}">
      <formula1>"Currency Pair,Commodity"</formula1>
    </dataValidation>
  </dataValidations>
  <pageMargins left="0.7" right="0.7" top="0.75" bottom="0.75" header="0.3" footer="0.3"/>
  <pageSetup orientation="portrait" horizontalDpi="1200" verticalDpi="1200" r:id="rId1"/>
  <drawing r:id="rId2"/>
  <legacyDrawing r:id="rId3"/>
  <controls>
    <mc:AlternateContent xmlns:mc="http://schemas.openxmlformats.org/markup-compatibility/2006">
      <mc:Choice Requires="x14">
        <control shapeId="1048" r:id="rId4" name="CommandButton1">
          <controlPr defaultSize="0" autoLine="0" altText="Reset" r:id="rId5">
            <anchor moveWithCells="1">
              <from>
                <xdr:col>3</xdr:col>
                <xdr:colOff>0</xdr:colOff>
                <xdr:row>6</xdr:row>
                <xdr:rowOff>0</xdr:rowOff>
              </from>
              <to>
                <xdr:col>5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048" r:id="rId4" name="CommandButton1"/>
      </mc:Fallback>
    </mc:AlternateContent>
    <mc:AlternateContent xmlns:mc="http://schemas.openxmlformats.org/markup-compatibility/2006">
      <mc:Choice Requires="x14">
        <control shapeId="1046" r:id="rId6" name="SpinButton5">
          <controlPr defaultSize="0" autoLine="0" r:id="rId7">
            <anchor moveWithCells="1">
              <from>
                <xdr:col>3</xdr:col>
                <xdr:colOff>276225</xdr:colOff>
                <xdr:row>8</xdr:row>
                <xdr:rowOff>0</xdr:rowOff>
              </from>
              <to>
                <xdr:col>3</xdr:col>
                <xdr:colOff>419100</xdr:colOff>
                <xdr:row>10</xdr:row>
                <xdr:rowOff>0</xdr:rowOff>
              </to>
            </anchor>
          </controlPr>
        </control>
      </mc:Choice>
      <mc:Fallback>
        <control shapeId="1046" r:id="rId6" name="SpinButton5"/>
      </mc:Fallback>
    </mc:AlternateContent>
    <mc:AlternateContent xmlns:mc="http://schemas.openxmlformats.org/markup-compatibility/2006">
      <mc:Choice Requires="x14">
        <control shapeId="1045" r:id="rId8" name="SpinButton4">
          <controlPr defaultSize="0" autoLine="0" r:id="rId7">
            <anchor moveWithCells="1">
              <from>
                <xdr:col>3</xdr:col>
                <xdr:colOff>466725</xdr:colOff>
                <xdr:row>8</xdr:row>
                <xdr:rowOff>0</xdr:rowOff>
              </from>
              <to>
                <xdr:col>4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1045" r:id="rId8" name="SpinButton4"/>
      </mc:Fallback>
    </mc:AlternateContent>
    <mc:AlternateContent xmlns:mc="http://schemas.openxmlformats.org/markup-compatibility/2006">
      <mc:Choice Requires="x14">
        <control shapeId="1044" r:id="rId9" name="SpinButton3">
          <controlPr defaultSize="0" autoLine="0" r:id="rId7">
            <anchor moveWithCells="1">
              <from>
                <xdr:col>4</xdr:col>
                <xdr:colOff>0</xdr:colOff>
                <xdr:row>8</xdr:row>
                <xdr:rowOff>0</xdr:rowOff>
              </from>
              <to>
                <xdr:col>4</xdr:col>
                <xdr:colOff>142875</xdr:colOff>
                <xdr:row>10</xdr:row>
                <xdr:rowOff>0</xdr:rowOff>
              </to>
            </anchor>
          </controlPr>
        </control>
      </mc:Choice>
      <mc:Fallback>
        <control shapeId="1044" r:id="rId9" name="SpinButton3"/>
      </mc:Fallback>
    </mc:AlternateContent>
    <mc:AlternateContent xmlns:mc="http://schemas.openxmlformats.org/markup-compatibility/2006">
      <mc:Choice Requires="x14">
        <control shapeId="1043" r:id="rId10" name="SpinButton2">
          <controlPr defaultSize="0" autoLine="0" r:id="rId7">
            <anchor moveWithCells="1">
              <from>
                <xdr:col>4</xdr:col>
                <xdr:colOff>142875</xdr:colOff>
                <xdr:row>8</xdr:row>
                <xdr:rowOff>0</xdr:rowOff>
              </from>
              <to>
                <xdr:col>4</xdr:col>
                <xdr:colOff>285750</xdr:colOff>
                <xdr:row>10</xdr:row>
                <xdr:rowOff>0</xdr:rowOff>
              </to>
            </anchor>
          </controlPr>
        </control>
      </mc:Choice>
      <mc:Fallback>
        <control shapeId="1043" r:id="rId10" name="SpinButton2"/>
      </mc:Fallback>
    </mc:AlternateContent>
    <mc:AlternateContent xmlns:mc="http://schemas.openxmlformats.org/markup-compatibility/2006">
      <mc:Choice Requires="x14">
        <control shapeId="1042" r:id="rId11" name="SpinButton1">
          <controlPr defaultSize="0" autoLine="0" r:id="rId7">
            <anchor moveWithCells="1">
              <from>
                <xdr:col>4</xdr:col>
                <xdr:colOff>285750</xdr:colOff>
                <xdr:row>8</xdr:row>
                <xdr:rowOff>0</xdr:rowOff>
              </from>
              <to>
                <xdr:col>4</xdr:col>
                <xdr:colOff>428625</xdr:colOff>
                <xdr:row>10</xdr:row>
                <xdr:rowOff>0</xdr:rowOff>
              </to>
            </anchor>
          </controlPr>
        </control>
      </mc:Choice>
      <mc:Fallback>
        <control shapeId="1042" r:id="rId11" name="SpinButton1"/>
      </mc:Fallback>
    </mc:AlternateContent>
    <mc:AlternateContent xmlns:mc="http://schemas.openxmlformats.org/markup-compatibility/2006">
      <mc:Choice Requires="x14">
        <control shapeId="1029" r:id="rId12" name="Spinner 5">
          <controlPr defaultSize="0" autoPict="0">
            <anchor moveWithCells="1" sizeWithCells="1">
              <from>
                <xdr:col>1</xdr:col>
                <xdr:colOff>295275</xdr:colOff>
                <xdr:row>8</xdr:row>
                <xdr:rowOff>0</xdr:rowOff>
              </from>
              <to>
                <xdr:col>2</xdr:col>
                <xdr:colOff>0</xdr:colOff>
                <xdr:row>10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9" r:id="rId13" name="Spinner 25">
          <controlPr defaultSize="0" autoPict="0">
            <anchor moveWithCells="1" sizeWithCells="1">
              <from>
                <xdr:col>2</xdr:col>
                <xdr:colOff>609600</xdr:colOff>
                <xdr:row>0</xdr:row>
                <xdr:rowOff>0</xdr:rowOff>
              </from>
              <to>
                <xdr:col>4</xdr:col>
                <xdr:colOff>0</xdr:colOff>
                <xdr:row>1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50" r:id="rId14" name="Spinner 26">
          <controlPr defaultSize="0" autoPict="0">
            <anchor moveWithCells="1" sizeWithCells="1">
              <from>
                <xdr:col>3</xdr:col>
                <xdr:colOff>0</xdr:colOff>
                <xdr:row>2</xdr:row>
                <xdr:rowOff>0</xdr:rowOff>
              </from>
              <to>
                <xdr:col>4</xdr:col>
                <xdr:colOff>0</xdr:colOff>
                <xdr:row>4</xdr:row>
                <xdr:rowOff>0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NYC</dc:creator>
  <cp:lastModifiedBy>NYC</cp:lastModifiedBy>
  <dcterms:created xsi:type="dcterms:W3CDTF">2015-06-05T18:17:20Z</dcterms:created>
  <dcterms:modified xsi:type="dcterms:W3CDTF">2025-01-31T08:05:06Z</dcterms:modified>
</cp:coreProperties>
</file>