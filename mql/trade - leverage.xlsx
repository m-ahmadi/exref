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r\mql\"/>
    </mc:Choice>
  </mc:AlternateContent>
  <xr:revisionPtr revIDLastSave="0" documentId="13_ncr:1_{EDBE65F5-AD5C-4197-994F-15BC319ABA3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" i="1" l="1"/>
  <c r="K12" i="1" s="1"/>
  <c r="K5" i="1"/>
  <c r="K10" i="1" l="1"/>
  <c r="K8" i="1"/>
  <c r="K14" i="1" s="1"/>
</calcChain>
</file>

<file path=xl/sharedStrings.xml><?xml version="1.0" encoding="utf-8"?>
<sst xmlns="http://schemas.openxmlformats.org/spreadsheetml/2006/main" count="13" uniqueCount="12">
  <si>
    <t>Balance</t>
  </si>
  <si>
    <t>Leverage</t>
  </si>
  <si>
    <t>Margin Call %</t>
  </si>
  <si>
    <t>Stop Out %</t>
  </si>
  <si>
    <t>Margin</t>
  </si>
  <si>
    <t>The % price must rise to profit 50$</t>
  </si>
  <si>
    <t>Balance to Margin Ratio</t>
  </si>
  <si>
    <r>
      <t>Micro Lot</t>
    </r>
    <r>
      <rPr>
        <b/>
        <sz val="8"/>
        <color theme="1"/>
        <rFont val="Calibri"/>
        <family val="2"/>
        <scheme val="minor"/>
      </rPr>
      <t xml:space="preserve">
</t>
    </r>
    <r>
      <rPr>
        <sz val="7"/>
        <color theme="1"/>
        <rFont val="Calibri"/>
        <family val="2"/>
        <scheme val="minor"/>
      </rPr>
      <t>100 = 1 lot</t>
    </r>
  </si>
  <si>
    <r>
      <t xml:space="preserve">Max </t>
    </r>
    <r>
      <rPr>
        <sz val="10"/>
        <color rgb="FFFF0000"/>
        <rFont val="Calibri"/>
        <family val="2"/>
        <scheme val="minor"/>
      </rPr>
      <t>-%</t>
    </r>
    <r>
      <rPr>
        <sz val="10"/>
        <color theme="1"/>
        <rFont val="Calibri"/>
        <family val="2"/>
        <scheme val="minor"/>
      </rPr>
      <t xml:space="preserve"> position can tolerate before </t>
    </r>
    <r>
      <rPr>
        <b/>
        <sz val="10"/>
        <color theme="1"/>
        <rFont val="Calibri"/>
        <family val="2"/>
        <scheme val="minor"/>
      </rPr>
      <t>Margin Call</t>
    </r>
    <r>
      <rPr>
        <sz val="10"/>
        <color theme="1"/>
        <rFont val="Calibri"/>
        <family val="2"/>
        <scheme val="minor"/>
      </rPr>
      <t xml:space="preserve">
</t>
    </r>
    <r>
      <rPr>
        <sz val="6"/>
        <color theme="1"/>
        <rFont val="Calibri"/>
        <family val="2"/>
        <scheme val="minor"/>
      </rPr>
      <t>1  = 1%</t>
    </r>
  </si>
  <si>
    <r>
      <t xml:space="preserve">Max </t>
    </r>
    <r>
      <rPr>
        <sz val="10"/>
        <color rgb="FFFF0000"/>
        <rFont val="Calibri"/>
        <family val="2"/>
        <scheme val="minor"/>
      </rPr>
      <t>-%</t>
    </r>
    <r>
      <rPr>
        <sz val="10"/>
        <color theme="1"/>
        <rFont val="Calibri"/>
        <family val="2"/>
        <scheme val="minor"/>
      </rPr>
      <t xml:space="preserve"> position can tolerate before </t>
    </r>
    <r>
      <rPr>
        <b/>
        <sz val="10"/>
        <color theme="1"/>
        <rFont val="Calibri"/>
        <family val="2"/>
        <scheme val="minor"/>
      </rPr>
      <t>Stop Out</t>
    </r>
    <r>
      <rPr>
        <sz val="10"/>
        <color theme="1"/>
        <rFont val="Calibri"/>
        <family val="2"/>
        <scheme val="minor"/>
      </rPr>
      <t xml:space="preserve">
</t>
    </r>
    <r>
      <rPr>
        <sz val="6"/>
        <color theme="1"/>
        <rFont val="Calibri"/>
        <family val="2"/>
        <scheme val="minor"/>
      </rPr>
      <t>1  = 1%</t>
    </r>
  </si>
  <si>
    <r>
      <t>Value of +</t>
    </r>
    <r>
      <rPr>
        <sz val="10"/>
        <color rgb="FF00B050"/>
        <rFont val="Calibri"/>
        <family val="2"/>
        <scheme val="minor"/>
      </rPr>
      <t>1%</t>
    </r>
    <r>
      <rPr>
        <sz val="10"/>
        <color theme="1"/>
        <rFont val="Calibri"/>
        <family val="2"/>
        <scheme val="minor"/>
      </rPr>
      <t xml:space="preserve"> price chg</t>
    </r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</si>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</sst>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0" fontId="9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1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NumberFormat="1"/>
    <xf numFmtId="0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00"/>
      <color rgb="FFFF3300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Spin" dx="22" fmlaLink="$C$1" inc="100" max="30000" noThreeD="1" page="10" val="3000"/>
</file>

<file path=xl/ctrlProps/ctrlProp2.xml><?xml version="1.0" encoding="utf-8"?>
<formControlPr xmlns="http://schemas.microsoft.com/office/spreadsheetml/2009/9/main" objectType="Spin" dx="22" fmlaLink="$C$4" max="3000" min="1" noThreeD="1" page="10" val="10"/>
</file>

<file path=xl/ctrlProps/ctrlProp3.xml><?xml version="1.0" encoding="utf-8"?>
<formControlPr xmlns="http://schemas.microsoft.com/office/spreadsheetml/2009/9/main" objectType="Spin" dx="22" fmlaLink="$C$7" inc="10" max="100" noThreeD="1" page="10" val="70"/>
</file>

<file path=xl/ctrlProps/ctrlProp4.xml><?xml version="1.0" encoding="utf-8"?>
<formControlPr xmlns="http://schemas.microsoft.com/office/spreadsheetml/2009/9/main" objectType="Spin" dx="22" fmlaLink="$C$10" inc="10" max="100" noThreeD="1" page="10" val="80"/>
</file>

<file path=xl/ctrlProps/ctrlProp5.xml><?xml version="1.0" encoding="utf-8"?>
<formControlPr xmlns="http://schemas.microsoft.com/office/spreadsheetml/2009/9/main" objectType="Spin" dx="22" fmlaLink="$C$13" max="100" min="1" noThreeD="1" page="1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676275</xdr:colOff>
          <xdr:row>0</xdr:row>
          <xdr:rowOff>9525</xdr:rowOff>
        </xdr:from>
        <xdr:to>
          <xdr:col>4</xdr:col>
          <xdr:colOff>9525</xdr:colOff>
          <xdr:row>3</xdr:row>
          <xdr:rowOff>0</xdr:rowOff>
        </xdr:to>
        <xdr:sp macro="" textlink="">
          <xdr:nvSpPr>
            <xdr:cNvPr id="1025" name="Spinner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3</xdr:row>
          <xdr:rowOff>0</xdr:rowOff>
        </xdr:from>
        <xdr:to>
          <xdr:col>4</xdr:col>
          <xdr:colOff>9525</xdr:colOff>
          <xdr:row>6</xdr:row>
          <xdr:rowOff>9525</xdr:rowOff>
        </xdr:to>
        <xdr:sp macro="" textlink="">
          <xdr:nvSpPr>
            <xdr:cNvPr id="1026" name="Spinner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6</xdr:row>
          <xdr:rowOff>9525</xdr:rowOff>
        </xdr:from>
        <xdr:to>
          <xdr:col>4</xdr:col>
          <xdr:colOff>9525</xdr:colOff>
          <xdr:row>9</xdr:row>
          <xdr:rowOff>0</xdr:rowOff>
        </xdr:to>
        <xdr:sp macro="" textlink="">
          <xdr:nvSpPr>
            <xdr:cNvPr id="1027" name="Spinner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676275</xdr:colOff>
          <xdr:row>9</xdr:row>
          <xdr:rowOff>0</xdr:rowOff>
        </xdr:from>
        <xdr:to>
          <xdr:col>4</xdr:col>
          <xdr:colOff>9525</xdr:colOff>
          <xdr:row>12</xdr:row>
          <xdr:rowOff>0</xdr:rowOff>
        </xdr:to>
        <xdr:sp macro="" textlink="">
          <xdr:nvSpPr>
            <xdr:cNvPr id="1028" name="Spinner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676275</xdr:colOff>
          <xdr:row>11</xdr:row>
          <xdr:rowOff>190500</xdr:rowOff>
        </xdr:from>
        <xdr:to>
          <xdr:col>4</xdr:col>
          <xdr:colOff>9525</xdr:colOff>
          <xdr:row>15</xdr:row>
          <xdr:rowOff>0</xdr:rowOff>
        </xdr:to>
        <xdr:sp macro="" textlink="">
          <xdr:nvSpPr>
            <xdr:cNvPr id="1029" name="Spinner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3"/>
  <sheetViews>
    <sheetView tabSelected="1" zoomScale="115" zoomScaleNormal="115" workbookViewId="0">
      <selection activeCell="C4" sqref="C4:C6"/>
    </sheetView>
  </sheetViews>
  <sheetFormatPr defaultRowHeight="15" x14ac:dyDescent="0.25"/>
  <cols>
    <col min="3" max="3" width="10.140625" bestFit="1" customWidth="1"/>
    <col min="9" max="9" width="9.140625" customWidth="1"/>
  </cols>
  <sheetData>
    <row r="1" spans="1:19" x14ac:dyDescent="0.25">
      <c r="A1" s="10" t="s">
        <v>0</v>
      </c>
      <c r="B1" s="10"/>
      <c r="C1" s="5">
        <v>3000</v>
      </c>
      <c r="E1" s="2"/>
      <c r="F1" s="2" t="s">
        <v>4</v>
      </c>
      <c r="G1" s="2"/>
      <c r="H1" s="2"/>
      <c r="I1" s="2"/>
      <c r="J1" s="2"/>
      <c r="K1" s="5">
        <f>C1*C4</f>
        <v>30000</v>
      </c>
      <c r="L1" s="5"/>
    </row>
    <row r="2" spans="1:19" x14ac:dyDescent="0.25">
      <c r="A2" s="10"/>
      <c r="B2" s="10"/>
      <c r="C2" s="5"/>
      <c r="E2" s="2"/>
      <c r="F2" s="2"/>
      <c r="G2" s="2"/>
      <c r="H2" s="2"/>
      <c r="I2" s="2"/>
      <c r="J2" s="2"/>
      <c r="K2" s="5"/>
      <c r="L2" s="5"/>
    </row>
    <row r="3" spans="1:19" x14ac:dyDescent="0.25">
      <c r="A3" s="10"/>
      <c r="B3" s="10"/>
      <c r="C3" s="5"/>
      <c r="E3" s="2"/>
      <c r="F3" s="2"/>
      <c r="G3" s="2"/>
      <c r="H3" s="2"/>
      <c r="I3" s="2"/>
      <c r="J3" s="2"/>
      <c r="K3" s="5"/>
      <c r="L3" s="5"/>
    </row>
    <row r="4" spans="1:19" x14ac:dyDescent="0.25">
      <c r="A4" s="10" t="s">
        <v>1</v>
      </c>
      <c r="B4" s="10"/>
      <c r="C4" s="9">
        <v>10</v>
      </c>
      <c r="E4" s="2"/>
      <c r="F4" s="2"/>
      <c r="G4" s="2"/>
      <c r="H4" s="2"/>
      <c r="I4" s="2"/>
      <c r="J4" s="2"/>
      <c r="K4" s="5"/>
      <c r="L4" s="5"/>
    </row>
    <row r="5" spans="1:19" x14ac:dyDescent="0.25">
      <c r="A5" s="10"/>
      <c r="B5" s="10"/>
      <c r="C5" s="9"/>
      <c r="E5" s="2"/>
      <c r="F5" s="1" t="s">
        <v>6</v>
      </c>
      <c r="G5" s="1"/>
      <c r="H5" s="1"/>
      <c r="I5" s="1"/>
      <c r="J5" s="1"/>
      <c r="K5" s="1">
        <f>C1/(C1*C4)</f>
        <v>0.1</v>
      </c>
      <c r="L5" s="1"/>
    </row>
    <row r="6" spans="1:19" x14ac:dyDescent="0.25">
      <c r="A6" s="10"/>
      <c r="B6" s="10"/>
      <c r="C6" s="9"/>
      <c r="E6" s="2"/>
      <c r="F6" s="1"/>
      <c r="G6" s="1"/>
      <c r="H6" s="1"/>
      <c r="I6" s="1"/>
      <c r="J6" s="1"/>
      <c r="K6" s="1"/>
      <c r="L6" s="1"/>
    </row>
    <row r="7" spans="1:19" x14ac:dyDescent="0.25">
      <c r="A7" s="10" t="s">
        <v>2</v>
      </c>
      <c r="B7" s="10"/>
      <c r="C7" s="9">
        <v>70</v>
      </c>
      <c r="E7" s="2"/>
      <c r="F7" s="3"/>
      <c r="G7" s="3"/>
      <c r="H7" s="3"/>
      <c r="I7" s="3"/>
      <c r="J7" s="3"/>
      <c r="K7" s="3"/>
      <c r="L7" s="3"/>
    </row>
    <row r="8" spans="1:19" x14ac:dyDescent="0.25">
      <c r="A8" s="10"/>
      <c r="B8" s="10"/>
      <c r="C8" s="9"/>
      <c r="E8" s="2"/>
      <c r="F8" s="8" t="s">
        <v>10</v>
      </c>
      <c r="G8" s="8"/>
      <c r="H8" s="8"/>
      <c r="I8" s="8"/>
      <c r="J8" s="8"/>
      <c r="K8" s="5">
        <f>K1*0.01</f>
        <v>300</v>
      </c>
      <c r="L8" s="5"/>
    </row>
    <row r="9" spans="1:19" ht="15" customHeight="1" x14ac:dyDescent="0.25">
      <c r="A9" s="10"/>
      <c r="B9" s="10"/>
      <c r="C9" s="9"/>
      <c r="E9" s="2"/>
      <c r="F9" s="8"/>
      <c r="G9" s="8"/>
      <c r="H9" s="8"/>
      <c r="I9" s="8"/>
      <c r="J9" s="8"/>
      <c r="K9" s="5"/>
      <c r="L9" s="5"/>
    </row>
    <row r="10" spans="1:19" x14ac:dyDescent="0.25">
      <c r="A10" s="10" t="s">
        <v>3</v>
      </c>
      <c r="B10" s="10"/>
      <c r="C10" s="9">
        <v>80</v>
      </c>
      <c r="E10" s="2"/>
      <c r="F10" s="7" t="s">
        <v>8</v>
      </c>
      <c r="G10" s="7"/>
      <c r="H10" s="7"/>
      <c r="I10" s="7"/>
      <c r="J10" s="7"/>
      <c r="K10" s="4">
        <f>IF(C4&gt;1, -((C1*C7*0.01) / (K1*C13*0.01)), -C1*C7*0.01*C13*0.01)</f>
        <v>-7</v>
      </c>
      <c r="L10" s="4" t="s">
        <v>11</v>
      </c>
    </row>
    <row r="11" spans="1:19" ht="15" customHeight="1" x14ac:dyDescent="0.25">
      <c r="A11" s="10"/>
      <c r="B11" s="10"/>
      <c r="C11" s="9"/>
      <c r="E11" s="2"/>
      <c r="F11" s="7"/>
      <c r="G11" s="7"/>
      <c r="H11" s="7"/>
      <c r="I11" s="7"/>
      <c r="J11" s="7"/>
      <c r="K11" s="4"/>
      <c r="L11" s="4"/>
    </row>
    <row r="12" spans="1:19" x14ac:dyDescent="0.25">
      <c r="A12" s="10"/>
      <c r="B12" s="10"/>
      <c r="C12" s="9"/>
      <c r="E12" s="2"/>
      <c r="F12" s="7" t="s">
        <v>9</v>
      </c>
      <c r="G12" s="7"/>
      <c r="H12" s="7"/>
      <c r="I12" s="7"/>
      <c r="J12" s="7"/>
      <c r="K12" s="4">
        <f>IF(C4&gt;1, -((C1*C10*0.01) / (K1*C13*0.01)), -C1*C10*0.01*C13*0.01)</f>
        <v>-8</v>
      </c>
      <c r="L12" s="4" t="s">
        <v>11</v>
      </c>
    </row>
    <row r="13" spans="1:19" x14ac:dyDescent="0.25">
      <c r="A13" s="11" t="s">
        <v>7</v>
      </c>
      <c r="B13" s="10"/>
      <c r="C13" s="9">
        <v>1</v>
      </c>
      <c r="E13" s="2"/>
      <c r="F13" s="7"/>
      <c r="G13" s="7"/>
      <c r="H13" s="7"/>
      <c r="I13" s="7"/>
      <c r="J13" s="7"/>
      <c r="K13" s="4"/>
      <c r="L13" s="4"/>
    </row>
    <row r="14" spans="1:19" x14ac:dyDescent="0.25">
      <c r="A14" s="10"/>
      <c r="B14" s="10"/>
      <c r="C14" s="9"/>
      <c r="E14" s="2"/>
      <c r="F14" s="8" t="s">
        <v>5</v>
      </c>
      <c r="G14" s="8"/>
      <c r="H14" s="8"/>
      <c r="I14" s="8"/>
      <c r="J14" s="8"/>
      <c r="K14" s="6">
        <f>50/K8/100</f>
        <v>1.6666666666666666E-3</v>
      </c>
      <c r="L14" s="6"/>
    </row>
    <row r="15" spans="1:19" x14ac:dyDescent="0.25">
      <c r="A15" s="10"/>
      <c r="B15" s="10"/>
      <c r="C15" s="9"/>
      <c r="E15" s="2"/>
      <c r="F15" s="8"/>
      <c r="G15" s="8"/>
      <c r="H15" s="8"/>
      <c r="I15" s="8"/>
      <c r="J15" s="8"/>
      <c r="K15" s="6"/>
      <c r="L15" s="6"/>
    </row>
    <row r="16" spans="1:19" x14ac:dyDescent="0.25">
      <c r="A16" s="12"/>
      <c r="B16" s="12"/>
      <c r="C16" s="12"/>
      <c r="D16" s="12"/>
      <c r="E16" s="12"/>
      <c r="F16" s="13"/>
      <c r="G16" s="13"/>
      <c r="H16" s="13"/>
      <c r="I16" s="13"/>
      <c r="J16" s="13"/>
      <c r="K16" s="13"/>
      <c r="L16" s="13"/>
      <c r="M16" s="12"/>
      <c r="N16" s="12"/>
      <c r="O16" s="12"/>
      <c r="P16" s="12"/>
      <c r="Q16" s="12"/>
      <c r="R16" s="12"/>
      <c r="S16" s="12"/>
    </row>
    <row r="17" spans="1:19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</row>
    <row r="18" spans="1:19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</row>
    <row r="19" spans="1:19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</row>
    <row r="20" spans="1:19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</row>
    <row r="21" spans="1:19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</row>
    <row r="22" spans="1:19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</row>
    <row r="23" spans="1:19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</row>
    <row r="24" spans="1:19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</row>
    <row r="25" spans="1:19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</row>
    <row r="26" spans="1:19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</row>
    <row r="27" spans="1:19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</row>
    <row r="28" spans="1:19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</row>
    <row r="29" spans="1:19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</row>
    <row r="30" spans="1:19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</row>
    <row r="31" spans="1:19" x14ac:dyDescent="0.2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</row>
    <row r="32" spans="1:19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</row>
    <row r="33" spans="1:19" x14ac:dyDescent="0.2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</row>
  </sheetData>
  <mergeCells count="26">
    <mergeCell ref="A1:B3"/>
    <mergeCell ref="A4:B6"/>
    <mergeCell ref="A7:B9"/>
    <mergeCell ref="C1:C3"/>
    <mergeCell ref="C4:C6"/>
    <mergeCell ref="C10:C12"/>
    <mergeCell ref="A10:B12"/>
    <mergeCell ref="A13:B15"/>
    <mergeCell ref="C13:C15"/>
    <mergeCell ref="C7:C9"/>
    <mergeCell ref="K5:L6"/>
    <mergeCell ref="E1:E15"/>
    <mergeCell ref="F7:L7"/>
    <mergeCell ref="K10:K11"/>
    <mergeCell ref="K12:K13"/>
    <mergeCell ref="L10:L11"/>
    <mergeCell ref="L12:L13"/>
    <mergeCell ref="F1:J4"/>
    <mergeCell ref="K1:L4"/>
    <mergeCell ref="F5:J6"/>
    <mergeCell ref="K8:L9"/>
    <mergeCell ref="K14:L15"/>
    <mergeCell ref="F12:J13"/>
    <mergeCell ref="F14:J15"/>
    <mergeCell ref="F8:J9"/>
    <mergeCell ref="F10:J11"/>
  </mergeCells>
  <pageMargins left="0.7" right="0.7" top="0.75" bottom="0.75" header="0.3" footer="0.3"/>
  <pageSetup orientation="portrait" horizontalDpi="1200" verticalDpi="12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Spinner 1">
              <controlPr defaultSize="0" autoPict="0">
                <anchor moveWithCells="1" sizeWithCells="1">
                  <from>
                    <xdr:col>2</xdr:col>
                    <xdr:colOff>676275</xdr:colOff>
                    <xdr:row>0</xdr:row>
                    <xdr:rowOff>9525</xdr:rowOff>
                  </from>
                  <to>
                    <xdr:col>4</xdr:col>
                    <xdr:colOff>9525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Spinner 2">
              <controlPr defaultSize="0" autoPict="0">
                <anchor moveWithCells="1" sizeWithCells="1">
                  <from>
                    <xdr:col>3</xdr:col>
                    <xdr:colOff>0</xdr:colOff>
                    <xdr:row>3</xdr:row>
                    <xdr:rowOff>0</xdr:rowOff>
                  </from>
                  <to>
                    <xdr:col>4</xdr:col>
                    <xdr:colOff>9525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Spinner 3">
              <controlPr defaultSize="0" autoPict="0">
                <anchor moveWithCells="1" sizeWithCells="1">
                  <from>
                    <xdr:col>3</xdr:col>
                    <xdr:colOff>0</xdr:colOff>
                    <xdr:row>6</xdr:row>
                    <xdr:rowOff>9525</xdr:rowOff>
                  </from>
                  <to>
                    <xdr:col>4</xdr:col>
                    <xdr:colOff>9525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Spinner 4">
              <controlPr defaultSize="0" autoPict="0">
                <anchor moveWithCells="1" sizeWithCells="1">
                  <from>
                    <xdr:col>2</xdr:col>
                    <xdr:colOff>676275</xdr:colOff>
                    <xdr:row>9</xdr:row>
                    <xdr:rowOff>0</xdr:rowOff>
                  </from>
                  <to>
                    <xdr:col>4</xdr:col>
                    <xdr:colOff>9525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Spinner 5">
              <controlPr defaultSize="0" autoPict="0">
                <anchor moveWithCells="1" sizeWithCells="1">
                  <from>
                    <xdr:col>2</xdr:col>
                    <xdr:colOff>676275</xdr:colOff>
                    <xdr:row>11</xdr:row>
                    <xdr:rowOff>190500</xdr:rowOff>
                  </from>
                  <to>
                    <xdr:col>4</xdr:col>
                    <xdr:colOff>9525</xdr:colOff>
                    <xdr:row>15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NYC</dc:creator>
  <cp:lastModifiedBy>NYC</cp:lastModifiedBy>
  <dcterms:created xsi:type="dcterms:W3CDTF">2015-06-05T18:17:20Z</dcterms:created>
  <dcterms:modified xsi:type="dcterms:W3CDTF">2024-12-11T07:36:55Z</dcterms:modified>
</cp:coreProperties>
</file>